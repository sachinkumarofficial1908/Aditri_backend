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125"/>
  </bookViews>
  <sheets>
    <sheet name="Wages Slip" sheetId="1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1"/>
  <c r="E5" s="1"/>
  <c r="G5" s="1"/>
  <c r="H5" l="1"/>
  <c r="H11" s="1"/>
  <c r="J5"/>
  <c r="J6"/>
  <c r="J11" l="1"/>
  <c r="J12" s="1"/>
</calcChain>
</file>

<file path=xl/sharedStrings.xml><?xml version="1.0" encoding="utf-8"?>
<sst xmlns="http://schemas.openxmlformats.org/spreadsheetml/2006/main" count="47" uniqueCount="46">
  <si>
    <t>S.Skilled</t>
  </si>
  <si>
    <t>CHHOTU KUMAR</t>
  </si>
  <si>
    <t>SATHIAPAL ENGINEERS (I) PVT LTD</t>
  </si>
  <si>
    <t>Bank</t>
  </si>
  <si>
    <t>HRA</t>
  </si>
  <si>
    <t>Other Allowance</t>
  </si>
  <si>
    <t>ESIC @0.75%</t>
  </si>
  <si>
    <t>Advance</t>
  </si>
  <si>
    <t>Ramparweshchand</t>
  </si>
  <si>
    <t>21129 97669</t>
  </si>
  <si>
    <t>Name of Company :</t>
  </si>
  <si>
    <t>SATHIAPAL ENGINEERS</t>
  </si>
  <si>
    <t>Name &amp; Location of Work: PPGCL -Bara -CIVIL FGD PROJECT</t>
  </si>
  <si>
    <t>Area of Work</t>
  </si>
  <si>
    <t>FGD</t>
  </si>
  <si>
    <t>Earnings</t>
  </si>
  <si>
    <t>Amount</t>
  </si>
  <si>
    <t>Deduction</t>
  </si>
  <si>
    <t>Rate per Day</t>
  </si>
  <si>
    <t>Basic</t>
  </si>
  <si>
    <t>P.F @ 12%</t>
  </si>
  <si>
    <t>Working Days</t>
  </si>
  <si>
    <t>Name</t>
  </si>
  <si>
    <t>S/O</t>
  </si>
  <si>
    <t>Weekly Off</t>
  </si>
  <si>
    <t>Grade</t>
  </si>
  <si>
    <t>Total Payable Days</t>
  </si>
  <si>
    <t>Special All</t>
  </si>
  <si>
    <t>Emp. ID No.</t>
  </si>
  <si>
    <t>Other all</t>
  </si>
  <si>
    <t>Payment Mode</t>
  </si>
  <si>
    <t>Total Gross</t>
  </si>
  <si>
    <t>Total Dedt.</t>
  </si>
  <si>
    <t>Net Payable Amount</t>
  </si>
  <si>
    <t>Signature of Worker</t>
  </si>
  <si>
    <t>Initials of the Contractor or his 
representative with Contractor Seal</t>
  </si>
  <si>
    <t>Month : MAR- 26</t>
  </si>
  <si>
    <t>OT Amt</t>
  </si>
  <si>
    <t>Absent</t>
  </si>
  <si>
    <t xml:space="preserve">
[FORM NO XIX ( SEE RULE 78(1)(b)]   WAGE SLIP </t>
  </si>
  <si>
    <t>Bouns Amt</t>
  </si>
  <si>
    <t>Leave Encashment</t>
  </si>
  <si>
    <t>ESIC No.</t>
  </si>
  <si>
    <t>Aadhar No.</t>
  </si>
  <si>
    <t>A/C No.</t>
  </si>
  <si>
    <t>PF No.</t>
  </si>
</sst>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Times New Roman"/>
      <family val="1"/>
    </font>
    <font>
      <b/>
      <sz val="8"/>
      <name val="Bookman Old Style"/>
      <family val="1"/>
    </font>
    <font>
      <sz val="9"/>
      <name val="Bookman Old Style"/>
      <family val="1"/>
    </font>
    <font>
      <b/>
      <sz val="6"/>
      <name val="Bookman Old Style"/>
      <family val="1"/>
    </font>
    <font>
      <b/>
      <sz val="9"/>
      <name val="Bookman Old Style"/>
      <family val="1"/>
    </font>
    <font>
      <i/>
      <sz val="10"/>
      <name val="Times New Roman"/>
      <family val="1"/>
    </font>
    <font>
      <sz val="9"/>
      <name val="Times New Roman"/>
      <family val="1"/>
    </font>
    <font>
      <sz val="9"/>
      <color theme="1"/>
      <name val="Book Antiqua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2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5" fillId="0" borderId="0"/>
    <xf numFmtId="164" fontId="15" fillId="0" borderId="0" applyFont="0" applyFill="0" applyBorder="0" applyAlignment="0" applyProtection="0"/>
    <xf numFmtId="0" fontId="1" fillId="0" borderId="0"/>
    <xf numFmtId="0" fontId="4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13" xfId="0" applyBorder="1"/>
    <xf numFmtId="0" fontId="0" fillId="0" borderId="0" xfId="0" applyAlignment="1">
      <alignment horizontal="right"/>
    </xf>
    <xf numFmtId="0" fontId="0" fillId="0" borderId="22" xfId="0" applyBorder="1"/>
    <xf numFmtId="0" fontId="0" fillId="0" borderId="24" xfId="0" applyBorder="1"/>
    <xf numFmtId="0" fontId="1" fillId="0" borderId="1" xfId="4" applyBorder="1" applyAlignment="1">
      <alignment horizontal="left" vertical="center"/>
    </xf>
    <xf numFmtId="0" fontId="1" fillId="0" borderId="1" xfId="4" applyBorder="1" applyAlignment="1">
      <alignment horizontal="center" vertical="center"/>
    </xf>
    <xf numFmtId="0" fontId="5" fillId="0" borderId="1" xfId="4" applyFont="1" applyBorder="1" applyAlignment="1">
      <alignment horizontal="left" vertical="center"/>
    </xf>
    <xf numFmtId="0" fontId="6" fillId="0" borderId="1" xfId="4" applyFont="1" applyBorder="1" applyAlignment="1" applyProtection="1">
      <alignment horizontal="left" vertical="center" wrapText="1" readingOrder="1"/>
      <protection locked="0"/>
    </xf>
    <xf numFmtId="0" fontId="1" fillId="0" borderId="1" xfId="4" applyBorder="1" applyAlignment="1">
      <alignment horizontal="left" vertical="center" readingOrder="1"/>
    </xf>
    <xf numFmtId="1" fontId="1" fillId="0" borderId="1" xfId="4" applyNumberFormat="1" applyBorder="1" applyAlignment="1">
      <alignment horizontal="left" vertical="center" readingOrder="1"/>
    </xf>
    <xf numFmtId="0" fontId="8" fillId="0" borderId="3" xfId="0" applyFont="1" applyBorder="1"/>
    <xf numFmtId="0" fontId="8" fillId="0" borderId="1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right"/>
    </xf>
    <xf numFmtId="0" fontId="11" fillId="0" borderId="2" xfId="0" applyFont="1" applyBorder="1"/>
    <xf numFmtId="0" fontId="11" fillId="0" borderId="15" xfId="0" applyFont="1" applyBorder="1"/>
    <xf numFmtId="0" fontId="9" fillId="0" borderId="1" xfId="0" applyFont="1" applyBorder="1"/>
    <xf numFmtId="2" fontId="9" fillId="0" borderId="4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1" fontId="3" fillId="0" borderId="1" xfId="1" applyNumberFormat="1" applyBorder="1" applyAlignment="1">
      <alignment horizontal="center" vertical="center"/>
    </xf>
    <xf numFmtId="165" fontId="9" fillId="0" borderId="16" xfId="0" applyNumberFormat="1" applyFont="1" applyBorder="1"/>
    <xf numFmtId="0" fontId="9" fillId="0" borderId="1" xfId="0" applyFont="1" applyBorder="1" applyAlignment="1">
      <alignment horizontal="center"/>
    </xf>
    <xf numFmtId="37" fontId="9" fillId="0" borderId="16" xfId="0" applyNumberFormat="1" applyFont="1" applyBorder="1"/>
    <xf numFmtId="0" fontId="9" fillId="0" borderId="19" xfId="0" applyFont="1" applyBorder="1" applyAlignment="1">
      <alignment horizontal="left"/>
    </xf>
    <xf numFmtId="165" fontId="9" fillId="0" borderId="1" xfId="0" applyNumberFormat="1" applyFont="1" applyBorder="1" applyAlignment="1">
      <alignment horizontal="center"/>
    </xf>
    <xf numFmtId="165" fontId="9" fillId="0" borderId="16" xfId="2" applyNumberFormat="1" applyFont="1" applyBorder="1" applyAlignment="1">
      <alignment horizontal="center"/>
    </xf>
    <xf numFmtId="37" fontId="9" fillId="0" borderId="1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65" fontId="9" fillId="0" borderId="20" xfId="2" applyNumberFormat="1" applyFont="1" applyBorder="1" applyAlignment="1">
      <alignment horizontal="center"/>
    </xf>
    <xf numFmtId="0" fontId="9" fillId="0" borderId="4" xfId="0" applyFont="1" applyBorder="1"/>
    <xf numFmtId="0" fontId="9" fillId="0" borderId="3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1" fontId="9" fillId="0" borderId="4" xfId="0" applyNumberFormat="1" applyFont="1" applyBorder="1" applyAlignment="1">
      <alignment horizontal="center"/>
    </xf>
    <xf numFmtId="0" fontId="9" fillId="0" borderId="19" xfId="0" applyFont="1" applyBorder="1"/>
    <xf numFmtId="0" fontId="13" fillId="0" borderId="3" xfId="0" applyFont="1" applyBorder="1" applyAlignment="1">
      <alignment horizontal="left"/>
    </xf>
    <xf numFmtId="0" fontId="9" fillId="0" borderId="10" xfId="0" applyFont="1" applyBorder="1" applyAlignment="1">
      <alignment horizontal="center" wrapText="1"/>
    </xf>
    <xf numFmtId="1" fontId="11" fillId="0" borderId="16" xfId="0" applyNumberFormat="1" applyFont="1" applyBorder="1" applyAlignment="1">
      <alignment horizontal="center"/>
    </xf>
    <xf numFmtId="0" fontId="0" fillId="0" borderId="1" xfId="0" applyFont="1" applyBorder="1" applyAlignment="1"/>
    <xf numFmtId="1" fontId="14" fillId="0" borderId="3" xfId="0" applyNumberFormat="1" applyFont="1" applyBorder="1" applyAlignment="1">
      <alignment horizontal="center"/>
    </xf>
    <xf numFmtId="1" fontId="14" fillId="0" borderId="10" xfId="0" applyNumberFormat="1" applyFont="1" applyBorder="1" applyAlignment="1">
      <alignment horizontal="center"/>
    </xf>
    <xf numFmtId="1" fontId="14" fillId="0" borderId="11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right" wrapText="1"/>
    </xf>
    <xf numFmtId="0" fontId="3" fillId="0" borderId="25" xfId="0" applyFont="1" applyBorder="1" applyAlignment="1">
      <alignment horizontal="right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" fontId="9" fillId="0" borderId="3" xfId="0" applyNumberFormat="1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2">
    <cellStyle name="Comma 2" xfId="7"/>
    <cellStyle name="Comma 2 2" xfId="5"/>
    <cellStyle name="Comma 2 3" xfId="2"/>
    <cellStyle name="Comma 3" xfId="9"/>
    <cellStyle name="Normal" xfId="0" builtinId="0"/>
    <cellStyle name="Normal 2" xfId="3"/>
    <cellStyle name="Normal 2 2" xfId="4"/>
    <cellStyle name="Normal 2 2 2" xfId="10"/>
    <cellStyle name="Normal 3" xfId="6"/>
    <cellStyle name="Normal 4" xfId="8"/>
    <cellStyle name="Normal 4 2" xfId="11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topLeftCell="A4" workbookViewId="0">
      <selection activeCell="M4" sqref="M1:N1048576"/>
    </sheetView>
  </sheetViews>
  <sheetFormatPr defaultRowHeight="15"/>
  <cols>
    <col min="1" max="1" width="11" customWidth="1"/>
    <col min="2" max="2" width="22" customWidth="1"/>
    <col min="3" max="3" width="17.28515625" customWidth="1"/>
    <col min="4" max="4" width="7.85546875" customWidth="1"/>
    <col min="5" max="5" width="8.5703125" bestFit="1" customWidth="1"/>
    <col min="6" max="6" width="14.7109375" customWidth="1"/>
    <col min="7" max="7" width="9.85546875" customWidth="1"/>
    <col min="8" max="8" width="8.7109375" customWidth="1"/>
    <col min="9" max="9" width="12.140625" customWidth="1"/>
  </cols>
  <sheetData>
    <row r="1" spans="1:10" ht="31.15" customHeight="1">
      <c r="A1" s="52" t="s">
        <v>39</v>
      </c>
      <c r="B1" s="53"/>
      <c r="C1" s="53"/>
      <c r="D1" s="53"/>
      <c r="E1" s="53"/>
      <c r="F1" s="53"/>
      <c r="G1" s="53"/>
      <c r="H1" s="53"/>
      <c r="I1" s="53"/>
      <c r="J1" s="54"/>
    </row>
    <row r="2" spans="1:10" ht="16.5" customHeight="1">
      <c r="A2" s="55" t="s">
        <v>2</v>
      </c>
      <c r="B2" s="56"/>
      <c r="C2" s="12" t="s">
        <v>10</v>
      </c>
      <c r="D2" s="71" t="s">
        <v>11</v>
      </c>
      <c r="E2" s="71"/>
      <c r="F2" s="71"/>
      <c r="G2" s="72"/>
      <c r="H2" s="13"/>
      <c r="I2" s="61" t="s">
        <v>36</v>
      </c>
      <c r="J2" s="62"/>
    </row>
    <row r="3" spans="1:10" ht="16.5" customHeight="1">
      <c r="A3" s="57"/>
      <c r="B3" s="58"/>
      <c r="C3" s="63" t="s">
        <v>12</v>
      </c>
      <c r="D3" s="64"/>
      <c r="E3" s="64"/>
      <c r="F3" s="64"/>
      <c r="G3" s="64"/>
      <c r="H3" s="64"/>
      <c r="I3" s="64"/>
      <c r="J3" s="65"/>
    </row>
    <row r="4" spans="1:10" ht="36" customHeight="1">
      <c r="A4" s="57"/>
      <c r="B4" s="58"/>
      <c r="C4" s="14" t="s">
        <v>13</v>
      </c>
      <c r="D4" s="15" t="s">
        <v>14</v>
      </c>
      <c r="E4" s="16"/>
      <c r="F4" s="17" t="s">
        <v>15</v>
      </c>
      <c r="G4" s="18" t="s">
        <v>5</v>
      </c>
      <c r="H4" s="19" t="s">
        <v>16</v>
      </c>
      <c r="I4" s="20" t="s">
        <v>17</v>
      </c>
      <c r="J4" s="21" t="s">
        <v>16</v>
      </c>
    </row>
    <row r="5" spans="1:10" ht="16.5" customHeight="1">
      <c r="A5" s="57"/>
      <c r="B5" s="58"/>
      <c r="C5" s="22" t="s">
        <v>18</v>
      </c>
      <c r="D5" s="7">
        <v>467</v>
      </c>
      <c r="E5" s="23">
        <f>D5*D9</f>
        <v>11208</v>
      </c>
      <c r="F5" s="14" t="s">
        <v>19</v>
      </c>
      <c r="G5" s="24">
        <f>(E5/100*5)+(E5/100*8.33)</f>
        <v>1494.0264</v>
      </c>
      <c r="H5" s="25">
        <f>E5+G5</f>
        <v>12702.026400000001</v>
      </c>
      <c r="I5" s="22" t="s">
        <v>20</v>
      </c>
      <c r="J5" s="26">
        <f>E5/100*12</f>
        <v>1344.96</v>
      </c>
    </row>
    <row r="6" spans="1:10" ht="16.5" customHeight="1">
      <c r="A6" s="59"/>
      <c r="B6" s="60"/>
      <c r="C6" s="22" t="s">
        <v>21</v>
      </c>
      <c r="D6" s="27">
        <v>24</v>
      </c>
      <c r="E6" s="27"/>
      <c r="F6" s="14" t="s">
        <v>4</v>
      </c>
      <c r="G6" s="14"/>
      <c r="H6" s="27">
        <v>0</v>
      </c>
      <c r="I6" s="22" t="s">
        <v>6</v>
      </c>
      <c r="J6" s="28">
        <f>E5/100*0.75</f>
        <v>84.06</v>
      </c>
    </row>
    <row r="7" spans="1:10" ht="16.5" customHeight="1">
      <c r="A7" s="29" t="s">
        <v>22</v>
      </c>
      <c r="B7" s="9" t="s">
        <v>1</v>
      </c>
      <c r="C7" s="22" t="s">
        <v>38</v>
      </c>
      <c r="D7" s="27">
        <v>0</v>
      </c>
      <c r="E7" s="27"/>
      <c r="F7" s="14" t="s">
        <v>37</v>
      </c>
      <c r="G7" s="14"/>
      <c r="H7" s="30">
        <v>0</v>
      </c>
      <c r="I7" s="22" t="s">
        <v>7</v>
      </c>
      <c r="J7" s="31">
        <v>0</v>
      </c>
    </row>
    <row r="8" spans="1:10" ht="16.5" customHeight="1">
      <c r="A8" s="29" t="s">
        <v>23</v>
      </c>
      <c r="B8" s="10" t="s">
        <v>8</v>
      </c>
      <c r="C8" s="44" t="s">
        <v>41</v>
      </c>
      <c r="D8" s="27">
        <v>0</v>
      </c>
      <c r="E8" s="27"/>
      <c r="F8" s="22" t="s">
        <v>40</v>
      </c>
      <c r="G8" s="22"/>
      <c r="H8" s="32">
        <v>0</v>
      </c>
      <c r="I8" s="22"/>
      <c r="J8" s="31"/>
    </row>
    <row r="9" spans="1:10" ht="16.5" customHeight="1">
      <c r="A9" s="29" t="s">
        <v>25</v>
      </c>
      <c r="B9" s="6" t="s">
        <v>0</v>
      </c>
      <c r="C9" s="22" t="s">
        <v>26</v>
      </c>
      <c r="D9" s="33">
        <f>SUM(D6:D8)</f>
        <v>24</v>
      </c>
      <c r="E9" s="33"/>
      <c r="F9" s="22" t="s">
        <v>27</v>
      </c>
      <c r="G9" s="22"/>
      <c r="H9" s="32">
        <v>0</v>
      </c>
      <c r="I9" s="22"/>
      <c r="J9" s="34"/>
    </row>
    <row r="10" spans="1:10" ht="16.5" customHeight="1">
      <c r="A10" s="29" t="s">
        <v>28</v>
      </c>
      <c r="B10" s="8">
        <v>1940057942</v>
      </c>
      <c r="C10" s="22" t="s">
        <v>24</v>
      </c>
      <c r="D10" s="27">
        <v>0</v>
      </c>
      <c r="E10" s="23"/>
      <c r="F10" s="14" t="s">
        <v>29</v>
      </c>
      <c r="G10" s="14"/>
      <c r="H10" s="32">
        <v>0</v>
      </c>
      <c r="I10" s="35"/>
      <c r="J10" s="34"/>
    </row>
    <row r="11" spans="1:10" ht="16.5" customHeight="1">
      <c r="A11" s="29" t="s">
        <v>45</v>
      </c>
      <c r="B11" s="11">
        <v>101605954733</v>
      </c>
      <c r="C11" s="14" t="s">
        <v>30</v>
      </c>
      <c r="D11" s="36" t="s">
        <v>3</v>
      </c>
      <c r="E11" s="37"/>
      <c r="F11" s="38" t="s">
        <v>31</v>
      </c>
      <c r="G11" s="38"/>
      <c r="H11" s="39">
        <f>SUM(H5:H10)</f>
        <v>12702.026400000001</v>
      </c>
      <c r="I11" s="38" t="s">
        <v>32</v>
      </c>
      <c r="J11" s="34">
        <f>SUM(J5:J10)</f>
        <v>1429.02</v>
      </c>
    </row>
    <row r="12" spans="1:10" ht="16.5" customHeight="1">
      <c r="A12" s="40" t="s">
        <v>42</v>
      </c>
      <c r="B12" s="10" t="s">
        <v>9</v>
      </c>
      <c r="C12" s="41" t="s">
        <v>44</v>
      </c>
      <c r="D12" s="66">
        <v>6476675675</v>
      </c>
      <c r="E12" s="67"/>
      <c r="F12" s="68"/>
      <c r="G12" s="42"/>
      <c r="H12" s="69" t="s">
        <v>33</v>
      </c>
      <c r="I12" s="70"/>
      <c r="J12" s="43">
        <f>H11-J11</f>
        <v>11273.0064</v>
      </c>
    </row>
    <row r="13" spans="1:10" ht="16.5" customHeight="1">
      <c r="A13" s="2"/>
      <c r="C13" s="22" t="s">
        <v>43</v>
      </c>
      <c r="D13" s="45">
        <v>123456789000</v>
      </c>
      <c r="E13" s="46"/>
      <c r="F13" s="47"/>
      <c r="H13" s="3"/>
      <c r="J13" s="4"/>
    </row>
    <row r="14" spans="1:10" ht="16.5" customHeight="1">
      <c r="A14" s="2"/>
      <c r="D14" s="1"/>
      <c r="E14" s="1"/>
      <c r="H14" s="3"/>
      <c r="J14" s="4"/>
    </row>
    <row r="15" spans="1:10" ht="15.75" thickBot="1">
      <c r="A15" s="48" t="s">
        <v>34</v>
      </c>
      <c r="B15" s="49"/>
      <c r="C15" s="5"/>
      <c r="D15" s="50" t="s">
        <v>35</v>
      </c>
      <c r="E15" s="50"/>
      <c r="F15" s="50"/>
      <c r="G15" s="50"/>
      <c r="H15" s="50"/>
      <c r="I15" s="50"/>
      <c r="J15" s="51"/>
    </row>
  </sheetData>
  <mergeCells count="10">
    <mergeCell ref="D13:F13"/>
    <mergeCell ref="A15:B15"/>
    <mergeCell ref="D15:J15"/>
    <mergeCell ref="A1:J1"/>
    <mergeCell ref="A2:B6"/>
    <mergeCell ref="I2:J2"/>
    <mergeCell ref="C3:J3"/>
    <mergeCell ref="D12:F12"/>
    <mergeCell ref="H12:I12"/>
    <mergeCell ref="D2:G2"/>
  </mergeCells>
  <pageMargins left="0.70866141732283505" right="0.70866141732283505" top="0.74803149606299202" bottom="0.74803149606299202" header="0.31496062992126" footer="0.31496062992126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Wages Slip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SEIPL GUEST</dc:creator>
  <cp:lastModifiedBy>LENOVO</cp:lastModifiedBy>
  <cp:lastPrinted>2026-04-20T05:50:49Z</cp:lastPrinted>
  <dcterms:created xsi:type="dcterms:W3CDTF">2025-07-17T07:06:55Z</dcterms:created>
  <dcterms:modified xsi:type="dcterms:W3CDTF">2026-05-04T09:51:07Z</dcterms:modified>
</cp:coreProperties>
</file>